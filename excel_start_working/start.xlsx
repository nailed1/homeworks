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<sst xmlns="http://schemas.openxmlformats.org/spreadsheetml/2006/main" count="15" uniqueCount="12">
  <si>
    <t>начисления</t>
  </si>
  <si>
    <t>удержания</t>
  </si>
  <si>
    <t>основное начисление</t>
  </si>
  <si>
    <t>премия</t>
  </si>
  <si>
    <t>всего начислено</t>
  </si>
  <si>
    <t>подоходный налог</t>
  </si>
  <si>
    <t>пенсионный фонд</t>
  </si>
  <si>
    <t>всего удержано</t>
  </si>
  <si>
    <t>к выдаче</t>
  </si>
  <si>
    <t>Иванов</t>
  </si>
  <si>
    <t>Петров</t>
  </si>
  <si>
    <t>Сидоров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</si>
</sst>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BDD6EE"/>
        <bgColor rgb="FFBDD6EE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К выдаче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'Лист1'!$A$3:$A$5</c:f>
            </c:strRef>
          </c:cat>
          <c:val>
            <c:numRef>
              <c:f>'Лист1'!$H$3:$H$5</c:f>
              <c:numCache/>
            </c:numRef>
          </c:val>
        </c:ser>
        <c:axId val="912758935"/>
        <c:axId val="836687042"/>
      </c:barChart>
      <c:catAx>
        <c:axId val="9127589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6687042"/>
      </c:catAx>
      <c:valAx>
        <c:axId val="8366870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2758935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1</xdr:row>
      <xdr:rowOff>9525</xdr:rowOff>
    </xdr:from>
    <xdr:ext cx="4371975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24.0" outlineLevel="1"/>
    <col customWidth="1" min="3" max="3" width="9.14" outlineLevel="1"/>
    <col customWidth="1" min="4" max="4" width="18.0" outlineLevel="1"/>
    <col customWidth="1" min="5" max="5" width="29.0" outlineLevel="1"/>
    <col customWidth="1" min="6" max="6" width="21.29" outlineLevel="1"/>
    <col customWidth="1" min="7" max="7" width="15.86" outlineLevel="1"/>
    <col customWidth="1" min="8" max="26" width="8.71"/>
  </cols>
  <sheetData>
    <row r="1">
      <c r="B1" s="1" t="s">
        <v>0</v>
      </c>
      <c r="E1" s="1" t="s">
        <v>1</v>
      </c>
    </row>
    <row r="2"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4" t="s">
        <v>8</v>
      </c>
      <c r="X2" s="5" t="s">
        <v>9</v>
      </c>
    </row>
    <row r="3">
      <c r="A3" s="5" t="s">
        <v>9</v>
      </c>
      <c r="B3" s="6">
        <v>45000.0</v>
      </c>
      <c r="C3" s="6">
        <v>5000.0</v>
      </c>
      <c r="D3" s="2">
        <f t="shared" ref="D3:D5" si="1">B3+C3</f>
        <v>50000</v>
      </c>
      <c r="E3" s="5">
        <f t="shared" ref="E3:E5" si="2">D3*0.13</f>
        <v>6500</v>
      </c>
      <c r="F3" s="5">
        <f t="shared" ref="F3:F5" si="3">D3*0.22</f>
        <v>11000</v>
      </c>
      <c r="G3" s="3">
        <f t="shared" ref="G3:G5" si="4">E3+F3</f>
        <v>17500</v>
      </c>
      <c r="H3" s="4">
        <f t="shared" ref="H3:H5" si="5">D3-G3</f>
        <v>32500</v>
      </c>
      <c r="X3" s="5" t="s">
        <v>10</v>
      </c>
    </row>
    <row r="4">
      <c r="A4" s="5" t="s">
        <v>11</v>
      </c>
      <c r="B4" s="6">
        <v>38000.0</v>
      </c>
      <c r="C4" s="6">
        <v>3000.0</v>
      </c>
      <c r="D4" s="2">
        <f t="shared" si="1"/>
        <v>41000</v>
      </c>
      <c r="E4" s="5">
        <f t="shared" si="2"/>
        <v>5330</v>
      </c>
      <c r="F4" s="5">
        <f t="shared" si="3"/>
        <v>9020</v>
      </c>
      <c r="G4" s="3">
        <f t="shared" si="4"/>
        <v>14350</v>
      </c>
      <c r="H4" s="4">
        <f t="shared" si="5"/>
        <v>26650</v>
      </c>
      <c r="X4" s="5" t="s">
        <v>11</v>
      </c>
    </row>
    <row r="5">
      <c r="A5" s="5" t="s">
        <v>11</v>
      </c>
      <c r="B5" s="6">
        <v>10000.0</v>
      </c>
      <c r="C5" s="6">
        <v>8000.0</v>
      </c>
      <c r="D5" s="2">
        <f t="shared" si="1"/>
        <v>18000</v>
      </c>
      <c r="E5" s="5">
        <f t="shared" si="2"/>
        <v>2340</v>
      </c>
      <c r="F5" s="5">
        <f t="shared" si="3"/>
        <v>3960</v>
      </c>
      <c r="G5" s="3">
        <f t="shared" si="4"/>
        <v>6300</v>
      </c>
      <c r="H5" s="4">
        <f t="shared" si="5"/>
        <v>11700</v>
      </c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G1"/>
  </mergeCells>
  <conditionalFormatting sqref="H3:H5">
    <cfRule type="cellIs" dxfId="0" priority="1" operator="lessThan">
      <formula>12333</formula>
    </cfRule>
  </conditionalFormatting>
  <dataValidations>
    <dataValidation type="decimal" allowBlank="1" showErrorMessage="1" sqref="C3:C5">
      <formula1>1000.0</formula1>
      <formula2>100000.0</formula2>
    </dataValidation>
    <dataValidation type="decimal" allowBlank="1" showErrorMessage="1" sqref="B3:B5">
      <formula1>5000.0</formula1>
      <formula2>2000000.0</formula2>
    </dataValidation>
    <dataValidation type="list" allowBlank="1" showErrorMessage="1" sqref="A3:A35">
      <formula1>$X:$X</formula1>
    </dataValidation>
  </dataValidations>
  <printOptions/>
  <pageMargins bottom="0.75" footer="0.0" header="0.0" left="0.7" right="0.7" top="0.75"/>
  <pageSetup paperSize="9" orientation="portrait"/>
  <drawing r:id="rId1"/>
</worksheet>
</file>